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67f0a71241a38/Documentos/"/>
    </mc:Choice>
  </mc:AlternateContent>
  <xr:revisionPtr revIDLastSave="0" documentId="8_{7D226139-A623-4EFF-902C-95BE72C1DEA7}" xr6:coauthVersionLast="47" xr6:coauthVersionMax="47" xr10:uidLastSave="{00000000-0000-0000-0000-000000000000}"/>
  <bookViews>
    <workbookView xWindow="-108" yWindow="-108" windowWidth="23256" windowHeight="12456" tabRatio="709" activeTab="1" xr2:uid="{24366240-C49B-45A0-B92D-06A613C8EC25}"/>
  </bookViews>
  <sheets>
    <sheet name="Sheet1" sheetId="1" r:id="rId1"/>
    <sheet name="Sheet2" sheetId="2" r:id="rId2"/>
  </sheets>
  <definedNames>
    <definedName name="Aporte">Sheet2!$D$17</definedName>
    <definedName name="Patrimonio">Sheet2!$D$20</definedName>
    <definedName name="Qtd_anos">Sheet2!$D$18</definedName>
    <definedName name="Rendimento_Carteira">Sheet2!$D$13</definedName>
    <definedName name="Salario">Sheet2!$D$12</definedName>
    <definedName name="Sugestao_investimento">Sheet2!$D$14</definedName>
    <definedName name="Taxa_mensal">Sheet2!$D$19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2" l="1"/>
  <c r="C37" i="2"/>
  <c r="C38" i="2"/>
  <c r="C39" i="2"/>
  <c r="C40" i="2"/>
  <c r="C35" i="2"/>
  <c r="G5" i="1"/>
  <c r="A10" i="1"/>
  <c r="A11" i="1"/>
  <c r="A12" i="1"/>
  <c r="A13" i="1"/>
  <c r="A14" i="1"/>
  <c r="A15" i="1"/>
  <c r="A16" i="1"/>
  <c r="A17" i="1"/>
  <c r="A18" i="1"/>
  <c r="A19" i="1"/>
  <c r="A20" i="1"/>
  <c r="A9" i="1"/>
  <c r="A4" i="1"/>
  <c r="A5" i="1"/>
  <c r="A6" i="1"/>
  <c r="A7" i="1"/>
  <c r="A8" i="1"/>
  <c r="A3" i="1"/>
  <c r="C32" i="2"/>
  <c r="D20" i="2"/>
  <c r="D21" i="2" s="1"/>
  <c r="D14" i="2"/>
  <c r="C25" i="2"/>
  <c r="D25" i="2" s="1"/>
  <c r="C26" i="2"/>
  <c r="D26" i="2" s="1"/>
  <c r="C27" i="2"/>
  <c r="D27" i="2" s="1"/>
  <c r="C28" i="2"/>
  <c r="D28" i="2" s="1"/>
  <c r="C24" i="2"/>
  <c r="D24" i="2" s="1"/>
  <c r="D39" i="2" l="1"/>
  <c r="D35" i="2"/>
  <c r="D40" i="2"/>
  <c r="D36" i="2"/>
  <c r="D38" i="2"/>
  <c r="D37" i="2"/>
  <c r="D41" i="2" l="1"/>
</calcChain>
</file>

<file path=xl/sharedStrings.xml><?xml version="1.0" encoding="utf-8"?>
<sst xmlns="http://schemas.openxmlformats.org/spreadsheetml/2006/main" count="73" uniqueCount="36">
  <si>
    <t>quanto de patrimonio acumulado terei?</t>
  </si>
  <si>
    <t>quanto dividendos mensais?</t>
  </si>
  <si>
    <t>INVESTIMENTO MENSAL</t>
  </si>
  <si>
    <t>Quanto investir por mes?</t>
  </si>
  <si>
    <t>Por quantos anos?</t>
  </si>
  <si>
    <t>Taxa de rendimento mensal?</t>
  </si>
  <si>
    <t>Quanto em 2 Anos?</t>
  </si>
  <si>
    <t>Quanto em 5 Anos?</t>
  </si>
  <si>
    <t>Quanto em 10 Anos?</t>
  </si>
  <si>
    <t>Quanto em 20 Anos?</t>
  </si>
  <si>
    <t>Quanto em 30 Anos?</t>
  </si>
  <si>
    <t>Cenarios</t>
  </si>
  <si>
    <t>Dividendos</t>
  </si>
  <si>
    <t>CONFIGURACOES</t>
  </si>
  <si>
    <t>Rendimento Carteira</t>
  </si>
  <si>
    <t>Salario</t>
  </si>
  <si>
    <t>Sugestao de Investimento</t>
  </si>
  <si>
    <t>AGRESSIVO</t>
  </si>
  <si>
    <t>CONSERVADOR</t>
  </si>
  <si>
    <t>MODERADO</t>
  </si>
  <si>
    <t>VALOR A SER INVESTIDO POR MES</t>
  </si>
  <si>
    <t>PERFIL</t>
  </si>
  <si>
    <t>TIPO DE FII</t>
  </si>
  <si>
    <t>Perncetual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</si>
  <si>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</si>
  <si>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</si>
  <si>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</si>
  <si>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</si>
  <si>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</si>
  <si>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</si>
  <si>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</si>
  <si>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%</t>
  </si>
  <si>
    <t>CHAVE</t>
  </si>
  <si>
    <t>MODERADO-TIJOLO</t>
  </si>
  <si>
    <t>)</t>
  </si>
  <si>
    <t>Tabela de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</si>
</sst>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0" formatCode="[$R$-416]\ #,##0.00"/>
    <numFmt numFmtId="171" formatCode="[$R$-416]\ #,##0.00;[Red]\-[$R$-416]\ #,##0.00"/>
    <numFmt numFmtId="172" formatCode="_-[$R$-416]\ * #,##0.00_-;\-[$R$-416]\ * #,##0.00_-;_-[$R$-416]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/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hair">
        <color theme="0" tint="-0.24994659260841701"/>
      </right>
      <top style="medium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medium">
        <color indexed="64"/>
      </top>
      <bottom style="hair">
        <color theme="0" tint="-0.2499465926084170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1">
    <xf numFmtId="0" fontId="0" fillId="0" borderId="0" xfId="0"/>
    <xf numFmtId="0" fontId="4" fillId="0" borderId="0" xfId="0" applyFont="1"/>
    <xf numFmtId="17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70" fontId="0" fillId="0" borderId="6" xfId="1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70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/>
    </xf>
    <xf numFmtId="171" fontId="6" fillId="4" borderId="6" xfId="0" applyNumberFormat="1" applyFont="1" applyFill="1" applyBorder="1" applyAlignment="1">
      <alignment horizontal="center"/>
    </xf>
    <xf numFmtId="171" fontId="6" fillId="4" borderId="9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170" fontId="0" fillId="4" borderId="5" xfId="0" applyNumberFormat="1" applyFill="1" applyBorder="1" applyAlignment="1">
      <alignment horizontal="center"/>
    </xf>
    <xf numFmtId="170" fontId="0" fillId="4" borderId="6" xfId="0" applyNumberFormat="1" applyFill="1" applyBorder="1" applyAlignment="1">
      <alignment horizontal="center"/>
    </xf>
    <xf numFmtId="170" fontId="0" fillId="4" borderId="8" xfId="0" applyNumberFormat="1" applyFill="1" applyBorder="1" applyAlignment="1">
      <alignment horizontal="center"/>
    </xf>
    <xf numFmtId="170" fontId="0" fillId="4" borderId="9" xfId="0" applyNumberFormat="1" applyFill="1" applyBorder="1" applyAlignment="1">
      <alignment horizontal="center"/>
    </xf>
    <xf numFmtId="0" fontId="8" fillId="4" borderId="4" xfId="0" applyFont="1" applyFill="1" applyBorder="1" applyAlignment="1">
      <alignment horizontal="left" indent="3"/>
    </xf>
    <xf numFmtId="0" fontId="8" fillId="4" borderId="5" xfId="0" applyFont="1" applyFill="1" applyBorder="1" applyAlignment="1">
      <alignment horizontal="left" indent="3"/>
    </xf>
    <xf numFmtId="0" fontId="8" fillId="4" borderId="7" xfId="0" applyFont="1" applyFill="1" applyBorder="1" applyAlignment="1">
      <alignment horizontal="left" indent="3"/>
    </xf>
    <xf numFmtId="0" fontId="8" fillId="4" borderId="8" xfId="0" applyFont="1" applyFill="1" applyBorder="1" applyAlignment="1">
      <alignment horizontal="left" indent="3"/>
    </xf>
    <xf numFmtId="0" fontId="5" fillId="4" borderId="4" xfId="0" applyFont="1" applyFill="1" applyBorder="1" applyAlignment="1">
      <alignment horizontal="left" indent="3"/>
    </xf>
    <xf numFmtId="0" fontId="5" fillId="4" borderId="7" xfId="0" applyFont="1" applyFill="1" applyBorder="1" applyAlignment="1">
      <alignment horizontal="left" indent="3"/>
    </xf>
    <xf numFmtId="0" fontId="5" fillId="6" borderId="4" xfId="0" applyFont="1" applyFill="1" applyBorder="1" applyAlignment="1">
      <alignment horizontal="left" indent="3"/>
    </xf>
    <xf numFmtId="0" fontId="5" fillId="6" borderId="5" xfId="0" applyFont="1" applyFill="1" applyBorder="1" applyAlignment="1">
      <alignment horizontal="left" indent="3"/>
    </xf>
    <xf numFmtId="0" fontId="5" fillId="6" borderId="7" xfId="0" applyFont="1" applyFill="1" applyBorder="1" applyAlignment="1">
      <alignment horizontal="left" indent="3"/>
    </xf>
    <xf numFmtId="0" fontId="5" fillId="6" borderId="8" xfId="0" applyFont="1" applyFill="1" applyBorder="1" applyAlignment="1">
      <alignment horizontal="left" indent="3"/>
    </xf>
    <xf numFmtId="170" fontId="0" fillId="6" borderId="9" xfId="0" applyNumberFormat="1" applyFill="1" applyBorder="1" applyAlignment="1">
      <alignment horizontal="center"/>
    </xf>
    <xf numFmtId="0" fontId="2" fillId="2" borderId="0" xfId="3" applyBorder="1" applyAlignment="1">
      <alignment horizontal="left" indent="3"/>
    </xf>
    <xf numFmtId="0" fontId="2" fillId="2" borderId="0" xfId="3"/>
    <xf numFmtId="0" fontId="0" fillId="6" borderId="0" xfId="0" applyFill="1"/>
    <xf numFmtId="172" fontId="0" fillId="6" borderId="0" xfId="0" applyNumberFormat="1" applyFill="1"/>
    <xf numFmtId="9" fontId="0" fillId="0" borderId="0" xfId="0" applyNumberFormat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172" fontId="0" fillId="7" borderId="0" xfId="0" applyNumberFormat="1" applyFill="1"/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0" xfId="0" applyNumberFormat="1" applyAlignment="1">
      <alignment horizontal="center" vertical="center"/>
    </xf>
    <xf numFmtId="0" fontId="9" fillId="0" borderId="0" xfId="0" applyFont="1"/>
    <xf numFmtId="9" fontId="0" fillId="0" borderId="13" xfId="0" applyNumberFormat="1" applyBorder="1" applyAlignment="1">
      <alignment horizontal="center" vertical="center"/>
    </xf>
    <xf numFmtId="9" fontId="2" fillId="2" borderId="0" xfId="2" applyFont="1" applyFill="1"/>
    <xf numFmtId="0" fontId="2" fillId="2" borderId="0" xfId="3" applyAlignment="1">
      <alignment horizontal="center" vertical="center"/>
    </xf>
    <xf numFmtId="10" fontId="0" fillId="0" borderId="6" xfId="2" applyNumberFormat="1" applyFont="1" applyBorder="1" applyAlignment="1">
      <alignment horizontal="center"/>
    </xf>
  </cellXfs>
  <cellStyles count="4">
    <cellStyle name="Currency" xfId="1" builtinId="4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Sheet2!$C$35:$C$40</c:f>
              <c:numCache>
                <c:formatCode>0%</c:formatCode>
                <c:ptCount val="6"/>
                <c:pt idx="0">
                  <c:v>0.35</c:v>
                </c:pt>
                <c:pt idx="1">
                  <c:v>0.45</c:v>
                </c:pt>
                <c:pt idx="2">
                  <c:v>0.15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D-4E4F-8177-932E5A31D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278130</xdr:colOff>
      <xdr:row>0</xdr:row>
      <xdr:rowOff>59054</xdr:rowOff>
    </xdr:from>
    <xdr:to>
      <xdr:col>4</xdr:col>
      <xdr:colOff>87086</xdr:colOff>
      <xdr:row>9</xdr:row>
      <xdr:rowOff>75141</xdr:rowOff>
    </xdr:to>
    <xdr:pic>
      <xdr:nvPicPr>
        <xdr:cNvPr id="3" name="Picture 2" descr="D.I.O. INVEST.&#10;&#10;AI-generated content may be incorrect.">
          <a:extLst>
            <a:ext uri="{FF2B5EF4-FFF2-40B4-BE49-F238E27FC236}">
              <a16:creationId xmlns:a16="http://schemas.microsoft.com/office/drawing/2014/main" id="{7B4E9F47-8648-2150-FF1D-4AE466028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59054"/>
          <a:ext cx="6917327" cy="1681601"/>
        </a:xfrm>
        <a:prstGeom prst="rect">
          <a:avLst/>
        </a:prstGeom>
      </xdr:spPr>
    </xdr:pic>
    <xdr:clientData/>
  </xdr:twoCellAnchor>
  <xdr:twoCellAnchor>
    <xdr:from>
      <xdr:col>1</xdr:col>
      <xdr:colOff>1235529</xdr:colOff>
      <xdr:row>41</xdr:row>
      <xdr:rowOff>136072</xdr:rowOff>
    </xdr:from>
    <xdr:to>
      <xdr:col>3</xdr:col>
      <xdr:colOff>277586</xdr:colOff>
      <xdr:row>56</xdr:row>
      <xdr:rowOff>103415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EEB94-953B-E569-24F7-06F1F1470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A994-5F87-454A-856F-DBB42156447A}">
  <dimension ref="A1:K20"/>
  <sheetViews>
    <sheetView workbookViewId="0">
      <selection activeCell="D16" sqref="D16"/>
    </sheetView>
  </sheetViews>
  <sheetFormatPr defaultRowHeight="14.4" x14ac:dyDescent="0.3"/>
  <cols>
    <col min="1" max="1" width="31.5546875" bestFit="1" customWidth="1"/>
    <col min="2" max="2" width="14" bestFit="1" customWidth="1"/>
    <col min="3" max="3" width="17.6640625" bestFit="1" customWidth="1"/>
    <col min="6" max="6" width="17.21875" bestFit="1" customWidth="1"/>
    <col min="7" max="7" width="13.33203125" customWidth="1"/>
  </cols>
  <sheetData>
    <row r="1" spans="1:11" x14ac:dyDescent="0.3">
      <c r="A1" s="4" t="s">
        <v>35</v>
      </c>
      <c r="B1" s="4"/>
      <c r="C1" s="4"/>
      <c r="D1" s="4"/>
    </row>
    <row r="2" spans="1:11" x14ac:dyDescent="0.3">
      <c r="A2" t="s">
        <v>32</v>
      </c>
      <c r="B2" s="3" t="s">
        <v>21</v>
      </c>
      <c r="C2" s="3" t="s">
        <v>22</v>
      </c>
      <c r="D2" s="3" t="s">
        <v>31</v>
      </c>
    </row>
    <row r="3" spans="1:11" x14ac:dyDescent="0.3">
      <c r="A3" t="str">
        <f>B3&amp;"-"&amp;C3</f>
        <v>CONSERVADOR-PAPEL</v>
      </c>
      <c r="B3" t="s">
        <v>18</v>
      </c>
      <c r="C3" s="3" t="s">
        <v>25</v>
      </c>
      <c r="D3" s="45">
        <v>0.35</v>
      </c>
    </row>
    <row r="4" spans="1:11" x14ac:dyDescent="0.3">
      <c r="A4" t="str">
        <f t="shared" ref="A4:A20" si="0">B4&amp;"-"&amp;C4</f>
        <v>CONSERVADOR-TIJOLO</v>
      </c>
      <c r="B4" t="s">
        <v>18</v>
      </c>
      <c r="C4" s="3" t="s">
        <v>26</v>
      </c>
      <c r="D4" s="45">
        <v>0.45</v>
      </c>
      <c r="G4" s="46" t="s">
        <v>31</v>
      </c>
    </row>
    <row r="5" spans="1:11" x14ac:dyDescent="0.3">
      <c r="A5" t="str">
        <f t="shared" si="0"/>
        <v>CONSERVADOR-HIBRIDOS</v>
      </c>
      <c r="B5" t="s">
        <v>18</v>
      </c>
      <c r="C5" s="3" t="s">
        <v>27</v>
      </c>
      <c r="D5" s="45">
        <v>0.15</v>
      </c>
      <c r="F5" s="36" t="s">
        <v>33</v>
      </c>
      <c r="G5" s="48">
        <f>VLOOKUP(F5,$A:$D,4,FALSE)</f>
        <v>0.35</v>
      </c>
    </row>
    <row r="6" spans="1:11" x14ac:dyDescent="0.3">
      <c r="A6" t="str">
        <f t="shared" si="0"/>
        <v>CONSERVADOR-FOFs</v>
      </c>
      <c r="B6" t="s">
        <v>18</v>
      </c>
      <c r="C6" s="3" t="s">
        <v>28</v>
      </c>
      <c r="D6" s="45">
        <v>0.05</v>
      </c>
    </row>
    <row r="7" spans="1:11" x14ac:dyDescent="0.3">
      <c r="A7" t="str">
        <f t="shared" si="0"/>
        <v>CONSERVADOR-DESENVOLVIMENTO</v>
      </c>
      <c r="B7" t="s">
        <v>18</v>
      </c>
      <c r="C7" s="3" t="s">
        <v>29</v>
      </c>
      <c r="D7" s="45">
        <v>0</v>
      </c>
    </row>
    <row r="8" spans="1:11" x14ac:dyDescent="0.3">
      <c r="A8" t="str">
        <f t="shared" si="0"/>
        <v>CONSERVADOR-HOTELARIAS</v>
      </c>
      <c r="B8" t="s">
        <v>18</v>
      </c>
      <c r="C8" s="3" t="s">
        <v>30</v>
      </c>
      <c r="D8" s="45">
        <v>0</v>
      </c>
    </row>
    <row r="9" spans="1:11" x14ac:dyDescent="0.3">
      <c r="A9" s="43" t="str">
        <f t="shared" si="0"/>
        <v>MODERADO-PAPEL</v>
      </c>
      <c r="B9" s="43" t="s">
        <v>19</v>
      </c>
      <c r="C9" s="44" t="s">
        <v>25</v>
      </c>
      <c r="D9" s="47">
        <v>0.35</v>
      </c>
      <c r="K9" t="s">
        <v>34</v>
      </c>
    </row>
    <row r="10" spans="1:11" x14ac:dyDescent="0.3">
      <c r="A10" t="str">
        <f t="shared" si="0"/>
        <v>MODERADO-TIJOLO</v>
      </c>
      <c r="B10" t="s">
        <v>19</v>
      </c>
      <c r="C10" s="3" t="s">
        <v>26</v>
      </c>
      <c r="D10" s="45">
        <v>0.35</v>
      </c>
    </row>
    <row r="11" spans="1:11" x14ac:dyDescent="0.3">
      <c r="A11" t="str">
        <f t="shared" si="0"/>
        <v>MODERADO-HIBRIDOS</v>
      </c>
      <c r="B11" t="s">
        <v>19</v>
      </c>
      <c r="C11" s="3" t="s">
        <v>27</v>
      </c>
      <c r="D11" s="45">
        <v>0.05</v>
      </c>
    </row>
    <row r="12" spans="1:11" x14ac:dyDescent="0.3">
      <c r="A12" t="str">
        <f t="shared" si="0"/>
        <v>MODERADO-FOFs</v>
      </c>
      <c r="B12" t="s">
        <v>19</v>
      </c>
      <c r="C12" s="3" t="s">
        <v>28</v>
      </c>
      <c r="D12" s="45">
        <v>0.05</v>
      </c>
    </row>
    <row r="13" spans="1:11" x14ac:dyDescent="0.3">
      <c r="A13" t="str">
        <f t="shared" si="0"/>
        <v>MODERADO-DESENVOLVIMENTO</v>
      </c>
      <c r="B13" t="s">
        <v>19</v>
      </c>
      <c r="C13" s="3" t="s">
        <v>29</v>
      </c>
      <c r="D13" s="45">
        <v>0.1</v>
      </c>
    </row>
    <row r="14" spans="1:11" x14ac:dyDescent="0.3">
      <c r="A14" t="str">
        <f t="shared" si="0"/>
        <v>MODERADO-HOTELARIAS</v>
      </c>
      <c r="B14" t="s">
        <v>19</v>
      </c>
      <c r="C14" s="3" t="s">
        <v>30</v>
      </c>
      <c r="D14" s="45">
        <v>0.1</v>
      </c>
    </row>
    <row r="15" spans="1:11" x14ac:dyDescent="0.3">
      <c r="A15" s="43" t="str">
        <f t="shared" si="0"/>
        <v>AGRESSIVO-PAPEL</v>
      </c>
      <c r="B15" s="43" t="s">
        <v>17</v>
      </c>
      <c r="C15" s="44" t="s">
        <v>25</v>
      </c>
      <c r="D15" s="47">
        <v>0.4</v>
      </c>
    </row>
    <row r="16" spans="1:11" x14ac:dyDescent="0.3">
      <c r="A16" t="str">
        <f t="shared" si="0"/>
        <v>AGRESSIVO-TIJOLO</v>
      </c>
      <c r="B16" t="s">
        <v>17</v>
      </c>
      <c r="C16" s="3" t="s">
        <v>26</v>
      </c>
      <c r="D16" s="45">
        <v>0.2</v>
      </c>
    </row>
    <row r="17" spans="1:4" x14ac:dyDescent="0.3">
      <c r="A17" t="str">
        <f t="shared" si="0"/>
        <v>AGRESSIVO-HIBRIDOS</v>
      </c>
      <c r="B17" t="s">
        <v>17</v>
      </c>
      <c r="C17" s="3" t="s">
        <v>27</v>
      </c>
      <c r="D17" s="45">
        <v>0.05</v>
      </c>
    </row>
    <row r="18" spans="1:4" x14ac:dyDescent="0.3">
      <c r="A18" t="str">
        <f t="shared" si="0"/>
        <v>AGRESSIVO-FOFs</v>
      </c>
      <c r="B18" t="s">
        <v>17</v>
      </c>
      <c r="C18" s="3" t="s">
        <v>28</v>
      </c>
      <c r="D18" s="45">
        <v>0.05</v>
      </c>
    </row>
    <row r="19" spans="1:4" x14ac:dyDescent="0.3">
      <c r="A19" t="str">
        <f t="shared" si="0"/>
        <v>AGRESSIVO-DESENVOLVIMENTO</v>
      </c>
      <c r="B19" t="s">
        <v>17</v>
      </c>
      <c r="C19" s="3" t="s">
        <v>29</v>
      </c>
      <c r="D19" s="45">
        <v>0.2</v>
      </c>
    </row>
    <row r="20" spans="1:4" x14ac:dyDescent="0.3">
      <c r="A20" t="str">
        <f t="shared" si="0"/>
        <v>AGRESSIVO-HOTELARIAS</v>
      </c>
      <c r="B20" t="s">
        <v>17</v>
      </c>
      <c r="C20" s="3" t="s">
        <v>30</v>
      </c>
      <c r="D20" s="45">
        <v>0.1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7D48-DFA6-4A4E-85A9-4B04E1D7A8E9}">
  <dimension ref="A11:H63"/>
  <sheetViews>
    <sheetView showGridLines="0" tabSelected="1" topLeftCell="A17" zoomScale="70" zoomScaleNormal="70" workbookViewId="0">
      <selection activeCell="C31" sqref="C3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4.6640625" customWidth="1"/>
    <col min="2" max="2" width="62.77734375" customWidth="1"/>
    <col min="3" max="3" width="17.77734375" bestFit="1" customWidth="1"/>
    <col min="4" max="4" width="18.33203125" customWidth="1"/>
    <col min="5" max="5" width="5.33203125" customWidth="1"/>
    <col min="6" max="8" width="5.33203125" hidden="1" customWidth="1"/>
    <col min="9" max="10" width="8.88671875" hidden="1" customWidth="1"/>
    <col min="11" max="16384" width="8.88671875" hidden="1"/>
  </cols>
  <sheetData>
    <row r="11" spans="2:4" ht="23.4" x14ac:dyDescent="0.3">
      <c r="B11" s="5" t="s">
        <v>13</v>
      </c>
      <c r="C11" s="6"/>
      <c r="D11" s="7"/>
    </row>
    <row r="12" spans="2:4" ht="15.6" x14ac:dyDescent="0.3">
      <c r="B12" s="30" t="s">
        <v>15</v>
      </c>
      <c r="C12" s="31"/>
      <c r="D12" s="8">
        <v>10000</v>
      </c>
    </row>
    <row r="13" spans="2:4" ht="15.6" x14ac:dyDescent="0.3">
      <c r="B13" s="30" t="s">
        <v>14</v>
      </c>
      <c r="C13" s="31"/>
      <c r="D13" s="50">
        <v>0.01</v>
      </c>
    </row>
    <row r="14" spans="2:4" ht="16.2" thickBot="1" x14ac:dyDescent="0.35">
      <c r="B14" s="32" t="s">
        <v>16</v>
      </c>
      <c r="C14" s="33"/>
      <c r="D14" s="34">
        <f>D12*30%</f>
        <v>3000</v>
      </c>
    </row>
    <row r="16" spans="2:4" ht="30.6" customHeight="1" x14ac:dyDescent="0.3">
      <c r="B16" s="9" t="s">
        <v>2</v>
      </c>
      <c r="C16" s="10"/>
      <c r="D16" s="11"/>
    </row>
    <row r="17" spans="1:4" ht="17.399999999999999" x14ac:dyDescent="0.3">
      <c r="B17" s="30" t="s">
        <v>3</v>
      </c>
      <c r="C17" s="31"/>
      <c r="D17" s="12">
        <v>3000</v>
      </c>
    </row>
    <row r="18" spans="1:4" ht="17.399999999999999" x14ac:dyDescent="0.3">
      <c r="B18" s="30" t="s">
        <v>4</v>
      </c>
      <c r="C18" s="31"/>
      <c r="D18" s="13">
        <v>10</v>
      </c>
    </row>
    <row r="19" spans="1:4" ht="17.399999999999999" x14ac:dyDescent="0.35">
      <c r="B19" s="30" t="s">
        <v>5</v>
      </c>
      <c r="C19" s="31"/>
      <c r="D19" s="14">
        <v>1.0789999999999999E-2</v>
      </c>
    </row>
    <row r="20" spans="1:4" ht="17.399999999999999" x14ac:dyDescent="0.35">
      <c r="B20" s="24" t="s">
        <v>0</v>
      </c>
      <c r="C20" s="25"/>
      <c r="D20" s="15">
        <f>FV(Taxa_mensal,Qtd_anos*12,Aporte*-1)</f>
        <v>729852.63759051659</v>
      </c>
    </row>
    <row r="21" spans="1:4" ht="18" thickBot="1" x14ac:dyDescent="0.35">
      <c r="B21" s="26" t="s">
        <v>1</v>
      </c>
      <c r="C21" s="27"/>
      <c r="D21" s="16">
        <f>Patrimonio*Rendimento_Carteira</f>
        <v>7298.5263759051659</v>
      </c>
    </row>
    <row r="22" spans="1:4" ht="15" thickBot="1" x14ac:dyDescent="0.35"/>
    <row r="23" spans="1:4" ht="28.2" customHeight="1" x14ac:dyDescent="0.3">
      <c r="B23" s="17" t="s">
        <v>11</v>
      </c>
      <c r="C23" s="18"/>
      <c r="D23" s="19" t="s">
        <v>12</v>
      </c>
    </row>
    <row r="24" spans="1:4" ht="15.6" x14ac:dyDescent="0.3">
      <c r="A24" s="1">
        <v>2</v>
      </c>
      <c r="B24" s="28" t="s">
        <v>6</v>
      </c>
      <c r="C24" s="20">
        <f>FV($D$19,$A24*12,$D$17*-1)</f>
        <v>81682.881892935649</v>
      </c>
      <c r="D24" s="21">
        <f>C24*Rendimento_Carteira</f>
        <v>816.82881892935654</v>
      </c>
    </row>
    <row r="25" spans="1:4" ht="15.6" x14ac:dyDescent="0.3">
      <c r="A25" s="1">
        <v>5</v>
      </c>
      <c r="B25" s="28" t="s">
        <v>7</v>
      </c>
      <c r="C25" s="20">
        <f>FV($D$19,$A25*12,$D$17*-1)</f>
        <v>251330.74199546294</v>
      </c>
      <c r="D25" s="21">
        <f>C25*Rendimento_Carteira</f>
        <v>2513.3074199546295</v>
      </c>
    </row>
    <row r="26" spans="1:4" ht="15.6" x14ac:dyDescent="0.3">
      <c r="A26" s="1">
        <v>10</v>
      </c>
      <c r="B26" s="28" t="s">
        <v>8</v>
      </c>
      <c r="C26" s="20">
        <f>FV($D$19,$A26*12,$D$17*-1)</f>
        <v>729852.63759051659</v>
      </c>
      <c r="D26" s="21">
        <f>C26*Rendimento_Carteira</f>
        <v>7298.5263759051659</v>
      </c>
    </row>
    <row r="27" spans="1:4" ht="15.6" x14ac:dyDescent="0.3">
      <c r="A27" s="1">
        <v>20</v>
      </c>
      <c r="B27" s="28" t="s">
        <v>9</v>
      </c>
      <c r="C27" s="20">
        <f>FV($D$19,$A27*12,$D$17*-1)</f>
        <v>3375595.200291242</v>
      </c>
      <c r="D27" s="21">
        <f>C27*Rendimento_Carteira</f>
        <v>33755.952002912418</v>
      </c>
    </row>
    <row r="28" spans="1:4" ht="16.2" thickBot="1" x14ac:dyDescent="0.35">
      <c r="A28" s="1">
        <v>30</v>
      </c>
      <c r="B28" s="29" t="s">
        <v>10</v>
      </c>
      <c r="C28" s="22">
        <f>FV($D$19,$A28*12,$D$17*-1)</f>
        <v>12966508.965014143</v>
      </c>
      <c r="D28" s="23">
        <f>C28*Rendimento_Carteira</f>
        <v>129665.08965014144</v>
      </c>
    </row>
    <row r="31" spans="1:4" x14ac:dyDescent="0.3">
      <c r="B31" s="35" t="s">
        <v>21</v>
      </c>
      <c r="C31" s="49" t="s">
        <v>18</v>
      </c>
      <c r="D31" s="36"/>
    </row>
    <row r="32" spans="1:4" x14ac:dyDescent="0.3">
      <c r="B32" s="37" t="s">
        <v>20</v>
      </c>
      <c r="C32" s="38">
        <f>Aporte</f>
        <v>3000</v>
      </c>
      <c r="D32" s="37"/>
    </row>
    <row r="34" spans="2:4" x14ac:dyDescent="0.3">
      <c r="B34" s="40" t="s">
        <v>22</v>
      </c>
      <c r="C34" s="40" t="s">
        <v>23</v>
      </c>
      <c r="D34" s="40" t="s">
        <v>24</v>
      </c>
    </row>
    <row r="35" spans="2:4" x14ac:dyDescent="0.3">
      <c r="B35" s="3" t="s">
        <v>25</v>
      </c>
      <c r="C35" s="39">
        <f>VLOOKUP($C$31&amp;"-"&amp;B35,Sheet1!$A:$D,4,FALSE)</f>
        <v>0.35</v>
      </c>
      <c r="D35" s="2">
        <f>C35*$C$32</f>
        <v>1050</v>
      </c>
    </row>
    <row r="36" spans="2:4" x14ac:dyDescent="0.3">
      <c r="B36" s="3" t="s">
        <v>26</v>
      </c>
      <c r="C36" s="39">
        <f>VLOOKUP($C$31&amp;"-"&amp;B36,Sheet1!$A:$D,4,FALSE)</f>
        <v>0.45</v>
      </c>
      <c r="D36" s="2">
        <f t="shared" ref="D36:D40" si="0">C36*$C$32</f>
        <v>1350</v>
      </c>
    </row>
    <row r="37" spans="2:4" x14ac:dyDescent="0.3">
      <c r="B37" s="3" t="s">
        <v>27</v>
      </c>
      <c r="C37" s="39">
        <f>VLOOKUP($C$31&amp;"-"&amp;B37,Sheet1!$A:$D,4,FALSE)</f>
        <v>0.15</v>
      </c>
      <c r="D37" s="2">
        <f t="shared" si="0"/>
        <v>450</v>
      </c>
    </row>
    <row r="38" spans="2:4" x14ac:dyDescent="0.3">
      <c r="B38" s="3" t="s">
        <v>28</v>
      </c>
      <c r="C38" s="39">
        <f>VLOOKUP($C$31&amp;"-"&amp;B38,Sheet1!$A:$D,4,FALSE)</f>
        <v>0.05</v>
      </c>
      <c r="D38" s="2">
        <f t="shared" si="0"/>
        <v>150</v>
      </c>
    </row>
    <row r="39" spans="2:4" x14ac:dyDescent="0.3">
      <c r="B39" s="3" t="s">
        <v>29</v>
      </c>
      <c r="C39" s="39">
        <f>VLOOKUP($C$31&amp;"-"&amp;B39,Sheet1!$A:$D,4,FALSE)</f>
        <v>0</v>
      </c>
      <c r="D39" s="2">
        <f t="shared" si="0"/>
        <v>0</v>
      </c>
    </row>
    <row r="40" spans="2:4" x14ac:dyDescent="0.3">
      <c r="B40" s="3" t="s">
        <v>30</v>
      </c>
      <c r="C40" s="39">
        <f>VLOOKUP($C$31&amp;"-"&amp;B40,Sheet1!$A:$D,4,FALSE)</f>
        <v>0</v>
      </c>
      <c r="D40" s="2">
        <f t="shared" si="0"/>
        <v>0</v>
      </c>
    </row>
    <row r="41" spans="2:4" x14ac:dyDescent="0.3">
      <c r="B41" s="41"/>
      <c r="C41" s="41"/>
      <c r="D41" s="42">
        <f>SUM(D35:D40)</f>
        <v>3000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</sheetData>
  <mergeCells count="11">
    <mergeCell ref="B16:D16"/>
    <mergeCell ref="B21:C21"/>
    <mergeCell ref="B11:D11"/>
    <mergeCell ref="B12:C12"/>
    <mergeCell ref="B13:C13"/>
    <mergeCell ref="B14:C14"/>
    <mergeCell ref="B23:C23"/>
    <mergeCell ref="B17:C17"/>
    <mergeCell ref="B18:C18"/>
    <mergeCell ref="B19:C19"/>
    <mergeCell ref="B20:C20"/>
  </mergeCells>
  <dataValidations count="1">
    <dataValidation type="list" allowBlank="1" showInputMessage="1" showErrorMessage="1" sqref="C31" xr:uid="{1ED686C0-8B61-45C5-A866-0755FBE1BAB1}">
      <formula1>"CONSERVADOR, MODERADO, AGRESSIVO"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Sheet2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Lazaro Machado</dc:creator>
  <cp:lastModifiedBy>Lazaro Machado</cp:lastModifiedBy>
  <dcterms:created xsi:type="dcterms:W3CDTF">2026-10-01T02:50:46Z</dcterms:created>
  <dcterms:modified xsi:type="dcterms:W3CDTF">2026-10-02T03:14:20Z</dcterms:modified>
</cp:coreProperties>
</file>